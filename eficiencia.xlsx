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11000" windowHeight="5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1" l="1"/>
  <c r="K48" i="1"/>
  <c r="K49" i="1"/>
  <c r="K50" i="1"/>
  <c r="K51" i="1"/>
  <c r="K35" i="1"/>
  <c r="K36" i="1"/>
  <c r="K37" i="1"/>
  <c r="K38" i="1"/>
  <c r="K39" i="1"/>
  <c r="K40" i="1"/>
  <c r="K41" i="1"/>
  <c r="K42" i="1"/>
  <c r="K43" i="1"/>
  <c r="K44" i="1"/>
  <c r="K45" i="1"/>
  <c r="K46" i="1"/>
  <c r="K32" i="1"/>
  <c r="K33" i="1"/>
  <c r="K34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50" i="1"/>
  <c r="J51" i="1"/>
  <c r="J44" i="1"/>
  <c r="J45" i="1"/>
  <c r="J46" i="1"/>
  <c r="J47" i="1"/>
  <c r="J48" i="1"/>
  <c r="J49" i="1"/>
  <c r="J35" i="1"/>
  <c r="J36" i="1"/>
  <c r="J37" i="1"/>
  <c r="J38" i="1"/>
  <c r="J39" i="1"/>
  <c r="J40" i="1"/>
  <c r="J41" i="1"/>
  <c r="J42" i="1"/>
  <c r="J43" i="1"/>
  <c r="J28" i="1"/>
  <c r="J29" i="1"/>
  <c r="J30" i="1"/>
  <c r="J31" i="1"/>
  <c r="J32" i="1"/>
  <c r="J33" i="1"/>
  <c r="J34" i="1"/>
  <c r="J21" i="1"/>
  <c r="J22" i="1"/>
  <c r="J23" i="1"/>
  <c r="J24" i="1"/>
  <c r="J25" i="1"/>
  <c r="J26" i="1"/>
  <c r="J2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B50" i="1"/>
  <c r="B51" i="1"/>
  <c r="B43" i="1"/>
  <c r="B44" i="1"/>
  <c r="B45" i="1"/>
  <c r="B46" i="1"/>
  <c r="B47" i="1"/>
  <c r="B48" i="1"/>
  <c r="B49" i="1"/>
  <c r="B38" i="1"/>
  <c r="B39" i="1"/>
  <c r="B40" i="1"/>
  <c r="B41" i="1"/>
  <c r="B42" i="1"/>
  <c r="B35" i="1"/>
  <c r="B36" i="1"/>
  <c r="B37" i="1"/>
  <c r="B33" i="1"/>
  <c r="B34" i="1"/>
  <c r="B25" i="1"/>
  <c r="B26" i="1"/>
  <c r="B27" i="1"/>
  <c r="B28" i="1"/>
  <c r="B29" i="1"/>
  <c r="B30" i="1"/>
  <c r="B31" i="1"/>
  <c r="B32" i="1"/>
  <c r="B23" i="1"/>
  <c r="B2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B2" i="1"/>
</calcChain>
</file>

<file path=xl/sharedStrings.xml><?xml version="1.0" encoding="utf-8"?>
<sst xmlns="http://schemas.openxmlformats.org/spreadsheetml/2006/main" count="13" uniqueCount="12">
  <si>
    <t>N</t>
  </si>
  <si>
    <t>O(n^2)</t>
  </si>
  <si>
    <t>O(log n)</t>
  </si>
  <si>
    <t>O(n)</t>
  </si>
  <si>
    <t>1K</t>
  </si>
  <si>
    <t>1M</t>
  </si>
  <si>
    <t>1T</t>
  </si>
  <si>
    <t>1G</t>
  </si>
  <si>
    <t>1PB</t>
  </si>
  <si>
    <t>Tiempo O(log n)</t>
  </si>
  <si>
    <t>T O(n)</t>
  </si>
  <si>
    <t>T 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</si>
</sst>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37" workbookViewId="0">
      <selection activeCell="I55" sqref="I55"/>
    </sheetView>
  </sheetViews>
  <sheetFormatPr baseColWidth="10" defaultRowHeight="14.5" x14ac:dyDescent="0.35"/>
  <cols>
    <col min="2" max="2" width="13.90625" customWidth="1"/>
    <col min="3" max="3" width="8.7265625" customWidth="1"/>
    <col min="4" max="4" width="13.54296875" customWidth="1"/>
    <col min="5" max="5" width="14.6328125" customWidth="1"/>
    <col min="6" max="6" width="13.08984375" customWidth="1"/>
    <col min="7" max="7" width="12.6328125" customWidth="1"/>
    <col min="9" max="9" width="18.90625" customWidth="1"/>
    <col min="10" max="11" width="11.81640625" bestFit="1" customWidth="1"/>
  </cols>
  <sheetData>
    <row r="1" spans="1:11" s="1" customFormat="1" x14ac:dyDescent="0.35">
      <c r="A1" s="1" t="s">
        <v>0</v>
      </c>
      <c r="B1" s="1" t="s">
        <v>0</v>
      </c>
      <c r="E1" s="1" t="s">
        <v>2</v>
      </c>
      <c r="F1" s="1" t="s">
        <v>3</v>
      </c>
      <c r="G1" s="1" t="s">
        <v>1</v>
      </c>
      <c r="I1" s="1" t="s">
        <v>9</v>
      </c>
      <c r="J1" s="1" t="s">
        <v>10</v>
      </c>
      <c r="K1" s="1" t="s">
        <v>11</v>
      </c>
    </row>
    <row r="2" spans="1:11" x14ac:dyDescent="0.35">
      <c r="B2">
        <f>2^C2</f>
        <v>2</v>
      </c>
      <c r="C2">
        <v>1</v>
      </c>
      <c r="E2">
        <f>LOG(B2)</f>
        <v>0.3010299956639812</v>
      </c>
      <c r="F2">
        <f>B2</f>
        <v>2</v>
      </c>
      <c r="G2">
        <f>B2*B2</f>
        <v>4</v>
      </c>
      <c r="I2">
        <f>E2/(3.5*(10^12))</f>
        <v>8.6008570189708915E-14</v>
      </c>
      <c r="J2">
        <f>F2/(3.5*(10^12))</f>
        <v>5.7142857142857147E-13</v>
      </c>
      <c r="K2">
        <f>G2/(3.5*(10^12))</f>
        <v>1.1428571428571429E-12</v>
      </c>
    </row>
    <row r="3" spans="1:11" x14ac:dyDescent="0.35">
      <c r="B3">
        <f>2^C3</f>
        <v>4</v>
      </c>
      <c r="C3">
        <v>2</v>
      </c>
      <c r="E3">
        <f t="shared" ref="E3:E51" si="0">LOG(B3)</f>
        <v>0.6020599913279624</v>
      </c>
      <c r="F3">
        <f t="shared" ref="F3:F51" si="1">B3</f>
        <v>4</v>
      </c>
      <c r="G3">
        <f t="shared" ref="G3:G51" si="2">B3*B3</f>
        <v>16</v>
      </c>
      <c r="I3">
        <f t="shared" ref="I3:I51" si="3">E3/(3.5*(10^12))</f>
        <v>1.7201714037941783E-13</v>
      </c>
      <c r="J3">
        <f t="shared" ref="J3:J51" si="4">F3/(3.5*(10^12))</f>
        <v>1.1428571428571429E-12</v>
      </c>
      <c r="K3">
        <f t="shared" ref="K3:K51" si="5">G3/(3.5*(10^12))</f>
        <v>4.5714285714285718E-12</v>
      </c>
    </row>
    <row r="4" spans="1:11" x14ac:dyDescent="0.35">
      <c r="B4">
        <f t="shared" ref="B4:B51" si="6">2^C4</f>
        <v>8</v>
      </c>
      <c r="C4">
        <v>3</v>
      </c>
      <c r="E4">
        <f t="shared" si="0"/>
        <v>0.90308998699194354</v>
      </c>
      <c r="F4">
        <f t="shared" si="1"/>
        <v>8</v>
      </c>
      <c r="G4">
        <f t="shared" si="2"/>
        <v>64</v>
      </c>
      <c r="I4">
        <f t="shared" si="3"/>
        <v>2.5802571056912671E-13</v>
      </c>
      <c r="J4">
        <f t="shared" si="4"/>
        <v>2.2857142857142859E-12</v>
      </c>
      <c r="K4">
        <f t="shared" si="5"/>
        <v>1.8285714285714287E-11</v>
      </c>
    </row>
    <row r="5" spans="1:11" x14ac:dyDescent="0.35">
      <c r="B5">
        <f t="shared" si="6"/>
        <v>16</v>
      </c>
      <c r="C5">
        <v>4</v>
      </c>
      <c r="E5">
        <f t="shared" si="0"/>
        <v>1.2041199826559248</v>
      </c>
      <c r="F5">
        <f t="shared" si="1"/>
        <v>16</v>
      </c>
      <c r="G5">
        <f t="shared" si="2"/>
        <v>256</v>
      </c>
      <c r="I5">
        <f t="shared" si="3"/>
        <v>3.4403428075883566E-13</v>
      </c>
      <c r="J5">
        <f t="shared" si="4"/>
        <v>4.5714285714285718E-12</v>
      </c>
      <c r="K5">
        <f t="shared" si="5"/>
        <v>7.3142857142857149E-11</v>
      </c>
    </row>
    <row r="6" spans="1:11" x14ac:dyDescent="0.35">
      <c r="B6">
        <f t="shared" si="6"/>
        <v>32</v>
      </c>
      <c r="C6">
        <v>5</v>
      </c>
      <c r="E6">
        <f t="shared" si="0"/>
        <v>1.505149978319906</v>
      </c>
      <c r="F6">
        <f t="shared" si="1"/>
        <v>32</v>
      </c>
      <c r="G6">
        <f t="shared" si="2"/>
        <v>1024</v>
      </c>
      <c r="I6">
        <f t="shared" si="3"/>
        <v>4.3004285094854456E-13</v>
      </c>
      <c r="J6">
        <f t="shared" si="4"/>
        <v>9.1428571428571436E-12</v>
      </c>
      <c r="K6">
        <f t="shared" si="5"/>
        <v>2.925714285714286E-10</v>
      </c>
    </row>
    <row r="7" spans="1:11" x14ac:dyDescent="0.35">
      <c r="B7">
        <f t="shared" si="6"/>
        <v>64</v>
      </c>
      <c r="C7">
        <v>6</v>
      </c>
      <c r="E7">
        <f t="shared" si="0"/>
        <v>1.8061799739838871</v>
      </c>
      <c r="F7">
        <f t="shared" si="1"/>
        <v>64</v>
      </c>
      <c r="G7">
        <f t="shared" si="2"/>
        <v>4096</v>
      </c>
      <c r="I7">
        <f t="shared" si="3"/>
        <v>5.1605142113825341E-13</v>
      </c>
      <c r="J7">
        <f t="shared" si="4"/>
        <v>1.8285714285714287E-11</v>
      </c>
      <c r="K7">
        <f t="shared" si="5"/>
        <v>1.1702857142857144E-9</v>
      </c>
    </row>
    <row r="8" spans="1:11" x14ac:dyDescent="0.35">
      <c r="B8">
        <f t="shared" si="6"/>
        <v>128</v>
      </c>
      <c r="C8">
        <v>7</v>
      </c>
      <c r="E8">
        <f t="shared" si="0"/>
        <v>2.1072099696478683</v>
      </c>
      <c r="F8">
        <f t="shared" si="1"/>
        <v>128</v>
      </c>
      <c r="G8">
        <f t="shared" si="2"/>
        <v>16384</v>
      </c>
      <c r="I8">
        <f t="shared" si="3"/>
        <v>6.0205999132796242E-13</v>
      </c>
      <c r="J8">
        <f t="shared" si="4"/>
        <v>3.6571428571428574E-11</v>
      </c>
      <c r="K8">
        <f t="shared" si="5"/>
        <v>4.6811428571428575E-9</v>
      </c>
    </row>
    <row r="9" spans="1:11" x14ac:dyDescent="0.35">
      <c r="B9">
        <f t="shared" si="6"/>
        <v>256</v>
      </c>
      <c r="C9">
        <v>8</v>
      </c>
      <c r="E9">
        <f t="shared" si="0"/>
        <v>2.4082399653118496</v>
      </c>
      <c r="F9">
        <f t="shared" si="1"/>
        <v>256</v>
      </c>
      <c r="G9">
        <f t="shared" si="2"/>
        <v>65536</v>
      </c>
      <c r="I9">
        <f t="shared" si="3"/>
        <v>6.8806856151767132E-13</v>
      </c>
      <c r="J9">
        <f t="shared" si="4"/>
        <v>7.3142857142857149E-11</v>
      </c>
      <c r="K9">
        <f t="shared" si="5"/>
        <v>1.872457142857143E-8</v>
      </c>
    </row>
    <row r="10" spans="1:11" x14ac:dyDescent="0.35">
      <c r="B10">
        <f t="shared" si="6"/>
        <v>512</v>
      </c>
      <c r="C10">
        <v>9</v>
      </c>
      <c r="E10">
        <f t="shared" si="0"/>
        <v>2.7092699609758308</v>
      </c>
      <c r="F10">
        <f t="shared" si="1"/>
        <v>512</v>
      </c>
      <c r="G10">
        <f t="shared" si="2"/>
        <v>262144</v>
      </c>
      <c r="I10">
        <f t="shared" si="3"/>
        <v>7.7407713170738022E-13</v>
      </c>
      <c r="J10">
        <f t="shared" si="4"/>
        <v>1.462857142857143E-10</v>
      </c>
      <c r="K10">
        <f t="shared" si="5"/>
        <v>7.489828571428572E-8</v>
      </c>
    </row>
    <row r="11" spans="1:11" x14ac:dyDescent="0.35">
      <c r="A11" t="s">
        <v>4</v>
      </c>
      <c r="B11">
        <f t="shared" si="6"/>
        <v>1024</v>
      </c>
      <c r="C11">
        <v>10</v>
      </c>
      <c r="E11">
        <f t="shared" si="0"/>
        <v>3.0102999566398121</v>
      </c>
      <c r="F11">
        <f t="shared" si="1"/>
        <v>1024</v>
      </c>
      <c r="G11">
        <f t="shared" si="2"/>
        <v>1048576</v>
      </c>
      <c r="I11">
        <f t="shared" si="3"/>
        <v>8.6008570189708912E-13</v>
      </c>
      <c r="J11">
        <f t="shared" si="4"/>
        <v>2.925714285714286E-10</v>
      </c>
      <c r="K11">
        <f t="shared" si="5"/>
        <v>2.9959314285714288E-7</v>
      </c>
    </row>
    <row r="12" spans="1:11" x14ac:dyDescent="0.35">
      <c r="B12">
        <f t="shared" si="6"/>
        <v>2048</v>
      </c>
      <c r="C12">
        <v>11</v>
      </c>
      <c r="E12">
        <f t="shared" si="0"/>
        <v>3.3113299523037933</v>
      </c>
      <c r="F12">
        <f t="shared" si="1"/>
        <v>2048</v>
      </c>
      <c r="G12">
        <f t="shared" si="2"/>
        <v>4194304</v>
      </c>
      <c r="I12">
        <f t="shared" si="3"/>
        <v>9.4609427208679802E-13</v>
      </c>
      <c r="J12">
        <f t="shared" si="4"/>
        <v>5.8514285714285719E-10</v>
      </c>
      <c r="K12">
        <f t="shared" si="5"/>
        <v>1.1983725714285715E-6</v>
      </c>
    </row>
    <row r="13" spans="1:11" x14ac:dyDescent="0.35">
      <c r="B13">
        <f t="shared" si="6"/>
        <v>4096</v>
      </c>
      <c r="C13">
        <v>12</v>
      </c>
      <c r="E13">
        <f t="shared" si="0"/>
        <v>3.6123599479677742</v>
      </c>
      <c r="F13">
        <f t="shared" si="1"/>
        <v>4096</v>
      </c>
      <c r="G13">
        <f t="shared" si="2"/>
        <v>16777216</v>
      </c>
      <c r="I13">
        <f t="shared" si="3"/>
        <v>1.0321028422765068E-12</v>
      </c>
      <c r="J13">
        <f t="shared" si="4"/>
        <v>1.1702857142857144E-9</v>
      </c>
      <c r="K13">
        <f t="shared" si="5"/>
        <v>4.7934902857142861E-6</v>
      </c>
    </row>
    <row r="14" spans="1:11" x14ac:dyDescent="0.35">
      <c r="B14">
        <f t="shared" si="6"/>
        <v>8192</v>
      </c>
      <c r="C14">
        <v>13</v>
      </c>
      <c r="E14">
        <f t="shared" si="0"/>
        <v>3.9133899436317554</v>
      </c>
      <c r="F14">
        <f t="shared" si="1"/>
        <v>8192</v>
      </c>
      <c r="G14">
        <f t="shared" si="2"/>
        <v>67108864</v>
      </c>
      <c r="I14">
        <f t="shared" si="3"/>
        <v>1.1181114124662158E-12</v>
      </c>
      <c r="J14">
        <f t="shared" si="4"/>
        <v>2.3405714285714288E-9</v>
      </c>
      <c r="K14">
        <f t="shared" si="5"/>
        <v>1.9173961142857144E-5</v>
      </c>
    </row>
    <row r="15" spans="1:11" x14ac:dyDescent="0.35">
      <c r="B15">
        <f t="shared" si="6"/>
        <v>16384</v>
      </c>
      <c r="C15">
        <v>14</v>
      </c>
      <c r="E15">
        <f t="shared" si="0"/>
        <v>4.2144199392957367</v>
      </c>
      <c r="F15">
        <f t="shared" si="1"/>
        <v>16384</v>
      </c>
      <c r="G15">
        <f t="shared" si="2"/>
        <v>268435456</v>
      </c>
      <c r="I15">
        <f t="shared" si="3"/>
        <v>1.2041199826559248E-12</v>
      </c>
      <c r="J15">
        <f t="shared" si="4"/>
        <v>4.6811428571428575E-9</v>
      </c>
      <c r="K15">
        <f t="shared" si="5"/>
        <v>7.6695844571428578E-5</v>
      </c>
    </row>
    <row r="16" spans="1:11" x14ac:dyDescent="0.35">
      <c r="B16">
        <f t="shared" si="6"/>
        <v>32768</v>
      </c>
      <c r="C16">
        <v>15</v>
      </c>
      <c r="E16">
        <f t="shared" si="0"/>
        <v>4.5154499349597179</v>
      </c>
      <c r="F16">
        <f t="shared" si="1"/>
        <v>32768</v>
      </c>
      <c r="G16">
        <f t="shared" si="2"/>
        <v>1073741824</v>
      </c>
      <c r="I16">
        <f t="shared" si="3"/>
        <v>1.2901285528456336E-12</v>
      </c>
      <c r="J16">
        <f t="shared" si="4"/>
        <v>9.362285714285715E-9</v>
      </c>
      <c r="K16">
        <f t="shared" si="5"/>
        <v>3.0678337828571431E-4</v>
      </c>
    </row>
    <row r="17" spans="1:11" x14ac:dyDescent="0.35">
      <c r="B17">
        <f t="shared" si="6"/>
        <v>65536</v>
      </c>
      <c r="C17">
        <v>16</v>
      </c>
      <c r="E17">
        <f t="shared" si="0"/>
        <v>4.8164799306236992</v>
      </c>
      <c r="F17">
        <f t="shared" si="1"/>
        <v>65536</v>
      </c>
      <c r="G17">
        <f t="shared" si="2"/>
        <v>4294967296</v>
      </c>
      <c r="I17">
        <f t="shared" si="3"/>
        <v>1.3761371230353426E-12</v>
      </c>
      <c r="J17">
        <f t="shared" si="4"/>
        <v>1.872457142857143E-8</v>
      </c>
      <c r="K17">
        <f t="shared" si="5"/>
        <v>1.2271335131428572E-3</v>
      </c>
    </row>
    <row r="18" spans="1:11" x14ac:dyDescent="0.35">
      <c r="B18">
        <f t="shared" si="6"/>
        <v>131072</v>
      </c>
      <c r="C18">
        <v>17</v>
      </c>
      <c r="E18">
        <f t="shared" si="0"/>
        <v>5.1175099262876804</v>
      </c>
      <c r="F18">
        <f t="shared" si="1"/>
        <v>131072</v>
      </c>
      <c r="G18">
        <f t="shared" si="2"/>
        <v>17179869184</v>
      </c>
      <c r="I18">
        <f t="shared" si="3"/>
        <v>1.4621456932250516E-12</v>
      </c>
      <c r="J18">
        <f t="shared" si="4"/>
        <v>3.744914285714286E-8</v>
      </c>
      <c r="K18">
        <f>G18/(3.5*(10^12))</f>
        <v>4.908534052571429E-3</v>
      </c>
    </row>
    <row r="19" spans="1:11" x14ac:dyDescent="0.35">
      <c r="B19">
        <f t="shared" si="6"/>
        <v>262144</v>
      </c>
      <c r="C19">
        <v>18</v>
      </c>
      <c r="E19">
        <f t="shared" si="0"/>
        <v>5.4185399219516617</v>
      </c>
      <c r="F19">
        <f t="shared" si="1"/>
        <v>262144</v>
      </c>
      <c r="G19">
        <f t="shared" si="2"/>
        <v>68719476736</v>
      </c>
      <c r="I19">
        <f t="shared" si="3"/>
        <v>1.5481542634147604E-12</v>
      </c>
      <c r="J19">
        <f t="shared" si="4"/>
        <v>7.489828571428572E-8</v>
      </c>
      <c r="K19">
        <f t="shared" si="5"/>
        <v>1.9634136210285716E-2</v>
      </c>
    </row>
    <row r="20" spans="1:11" x14ac:dyDescent="0.35">
      <c r="B20">
        <f t="shared" si="6"/>
        <v>524288</v>
      </c>
      <c r="C20">
        <v>19</v>
      </c>
      <c r="E20">
        <f t="shared" si="0"/>
        <v>5.7195699176156429</v>
      </c>
      <c r="F20">
        <f t="shared" si="1"/>
        <v>524288</v>
      </c>
      <c r="G20">
        <f t="shared" si="2"/>
        <v>274877906944</v>
      </c>
      <c r="I20">
        <f t="shared" si="3"/>
        <v>1.6341628336044694E-12</v>
      </c>
      <c r="J20">
        <f t="shared" si="4"/>
        <v>1.4979657142857144E-7</v>
      </c>
      <c r="K20">
        <f t="shared" si="5"/>
        <v>7.8536544841142863E-2</v>
      </c>
    </row>
    <row r="21" spans="1:11" x14ac:dyDescent="0.35">
      <c r="A21" t="s">
        <v>5</v>
      </c>
      <c r="B21">
        <f t="shared" si="6"/>
        <v>1048576</v>
      </c>
      <c r="C21">
        <v>20</v>
      </c>
      <c r="E21">
        <f t="shared" si="0"/>
        <v>6.0205999132796242</v>
      </c>
      <c r="F21">
        <f t="shared" si="1"/>
        <v>1048576</v>
      </c>
      <c r="G21">
        <f t="shared" si="2"/>
        <v>1099511627776</v>
      </c>
      <c r="I21">
        <f t="shared" si="3"/>
        <v>1.7201714037941782E-12</v>
      </c>
      <c r="J21">
        <f>F21/(3.5*(10^12))</f>
        <v>2.9959314285714288E-7</v>
      </c>
      <c r="K21">
        <f t="shared" si="5"/>
        <v>0.31414617936457145</v>
      </c>
    </row>
    <row r="22" spans="1:11" x14ac:dyDescent="0.35">
      <c r="B22">
        <f t="shared" si="6"/>
        <v>2097152</v>
      </c>
      <c r="C22">
        <v>21</v>
      </c>
      <c r="E22">
        <f t="shared" si="0"/>
        <v>6.3216299089436054</v>
      </c>
      <c r="F22">
        <f t="shared" si="1"/>
        <v>2097152</v>
      </c>
      <c r="G22">
        <f t="shared" si="2"/>
        <v>4398046511104</v>
      </c>
      <c r="I22">
        <f t="shared" si="3"/>
        <v>1.8061799739838872E-12</v>
      </c>
      <c r="J22">
        <f t="shared" si="4"/>
        <v>5.9918628571428576E-7</v>
      </c>
      <c r="K22">
        <f t="shared" si="5"/>
        <v>1.2565847174582858</v>
      </c>
    </row>
    <row r="23" spans="1:11" x14ac:dyDescent="0.35">
      <c r="B23">
        <f>2^C23</f>
        <v>4194304</v>
      </c>
      <c r="C23">
        <v>22</v>
      </c>
      <c r="E23">
        <f t="shared" si="0"/>
        <v>6.6226599046075867</v>
      </c>
      <c r="F23">
        <f t="shared" si="1"/>
        <v>4194304</v>
      </c>
      <c r="G23">
        <f t="shared" si="2"/>
        <v>17592186044416</v>
      </c>
      <c r="I23">
        <f t="shared" si="3"/>
        <v>1.892188544173596E-12</v>
      </c>
      <c r="J23">
        <f t="shared" si="4"/>
        <v>1.1983725714285715E-6</v>
      </c>
      <c r="K23">
        <f t="shared" si="5"/>
        <v>5.0263388698331433</v>
      </c>
    </row>
    <row r="24" spans="1:11" x14ac:dyDescent="0.35">
      <c r="B24">
        <f t="shared" si="6"/>
        <v>8388608</v>
      </c>
      <c r="C24">
        <v>23</v>
      </c>
      <c r="E24">
        <f t="shared" si="0"/>
        <v>6.9236899002715671</v>
      </c>
      <c r="F24">
        <f t="shared" si="1"/>
        <v>8388608</v>
      </c>
      <c r="G24">
        <f t="shared" si="2"/>
        <v>70368744177664</v>
      </c>
      <c r="I24">
        <f t="shared" si="3"/>
        <v>1.9781971143633048E-12</v>
      </c>
      <c r="J24">
        <f t="shared" si="4"/>
        <v>2.3967451428571431E-6</v>
      </c>
      <c r="K24">
        <f t="shared" si="5"/>
        <v>20.105355479332573</v>
      </c>
    </row>
    <row r="25" spans="1:11" x14ac:dyDescent="0.35">
      <c r="B25">
        <f>2^C25</f>
        <v>16777216</v>
      </c>
      <c r="C25">
        <v>24</v>
      </c>
      <c r="E25">
        <f t="shared" si="0"/>
        <v>7.2247198959355483</v>
      </c>
      <c r="F25">
        <f t="shared" si="1"/>
        <v>16777216</v>
      </c>
      <c r="G25">
        <f t="shared" si="2"/>
        <v>281474976710656</v>
      </c>
      <c r="I25">
        <f t="shared" si="3"/>
        <v>2.0642056845530136E-12</v>
      </c>
      <c r="J25">
        <f t="shared" si="4"/>
        <v>4.7934902857142861E-6</v>
      </c>
      <c r="K25">
        <f t="shared" si="5"/>
        <v>80.421421917330292</v>
      </c>
    </row>
    <row r="26" spans="1:11" x14ac:dyDescent="0.35">
      <c r="B26">
        <f t="shared" si="6"/>
        <v>33554432</v>
      </c>
      <c r="C26">
        <v>25</v>
      </c>
      <c r="E26">
        <f t="shared" si="0"/>
        <v>7.5257498915995296</v>
      </c>
      <c r="F26">
        <f t="shared" si="1"/>
        <v>33554432</v>
      </c>
      <c r="G26">
        <f t="shared" si="2"/>
        <v>1125899906842624</v>
      </c>
      <c r="I26">
        <f t="shared" si="3"/>
        <v>2.1502142547427229E-12</v>
      </c>
      <c r="J26">
        <f t="shared" si="4"/>
        <v>9.5869805714285722E-6</v>
      </c>
      <c r="K26">
        <f t="shared" si="5"/>
        <v>321.68568766932117</v>
      </c>
    </row>
    <row r="27" spans="1:11" x14ac:dyDescent="0.35">
      <c r="B27">
        <f t="shared" si="6"/>
        <v>67108864</v>
      </c>
      <c r="C27">
        <v>26</v>
      </c>
      <c r="E27">
        <f t="shared" si="0"/>
        <v>7.8267798872635108</v>
      </c>
      <c r="F27">
        <f t="shared" si="1"/>
        <v>67108864</v>
      </c>
      <c r="G27">
        <f t="shared" si="2"/>
        <v>4503599627370496</v>
      </c>
      <c r="I27">
        <f t="shared" si="3"/>
        <v>2.2362228249324317E-12</v>
      </c>
      <c r="J27">
        <f t="shared" si="4"/>
        <v>1.9173961142857144E-5</v>
      </c>
      <c r="K27">
        <f t="shared" si="5"/>
        <v>1286.7427506772847</v>
      </c>
    </row>
    <row r="28" spans="1:11" x14ac:dyDescent="0.35">
      <c r="B28">
        <f t="shared" si="6"/>
        <v>134217728</v>
      </c>
      <c r="C28">
        <v>27</v>
      </c>
      <c r="E28">
        <f t="shared" si="0"/>
        <v>8.1278098829274921</v>
      </c>
      <c r="F28">
        <f t="shared" si="1"/>
        <v>134217728</v>
      </c>
      <c r="G28">
        <f t="shared" si="2"/>
        <v>1.8014398509481984E+16</v>
      </c>
      <c r="I28">
        <f t="shared" si="3"/>
        <v>2.3222313951221405E-12</v>
      </c>
      <c r="J28">
        <f>F28/(3.5*(10^12))</f>
        <v>3.8347922285714289E-5</v>
      </c>
      <c r="K28">
        <f t="shared" si="5"/>
        <v>5146.9710027091387</v>
      </c>
    </row>
    <row r="29" spans="1:11" x14ac:dyDescent="0.35">
      <c r="B29">
        <f t="shared" si="6"/>
        <v>268435456</v>
      </c>
      <c r="C29">
        <v>28</v>
      </c>
      <c r="E29">
        <f t="shared" si="0"/>
        <v>8.4288398785914733</v>
      </c>
      <c r="F29">
        <f t="shared" si="1"/>
        <v>268435456</v>
      </c>
      <c r="G29">
        <f t="shared" si="2"/>
        <v>7.2057594037927936E+16</v>
      </c>
      <c r="I29">
        <f t="shared" si="3"/>
        <v>2.4082399653118497E-12</v>
      </c>
      <c r="J29">
        <f t="shared" si="4"/>
        <v>7.6695844571428578E-5</v>
      </c>
      <c r="K29">
        <f t="shared" si="5"/>
        <v>20587.884010836555</v>
      </c>
    </row>
    <row r="30" spans="1:11" x14ac:dyDescent="0.35">
      <c r="B30">
        <f t="shared" si="6"/>
        <v>536870912</v>
      </c>
      <c r="C30">
        <v>29</v>
      </c>
      <c r="E30">
        <f t="shared" si="0"/>
        <v>8.7298698742554546</v>
      </c>
      <c r="F30">
        <f t="shared" si="1"/>
        <v>536870912</v>
      </c>
      <c r="G30">
        <f t="shared" si="2"/>
        <v>2.8823037615171174E+17</v>
      </c>
      <c r="I30">
        <f t="shared" si="3"/>
        <v>2.4942485355015585E-12</v>
      </c>
      <c r="J30">
        <f t="shared" si="4"/>
        <v>1.5339168914285716E-4</v>
      </c>
      <c r="K30">
        <f t="shared" si="5"/>
        <v>82351.536043346219</v>
      </c>
    </row>
    <row r="31" spans="1:11" x14ac:dyDescent="0.35">
      <c r="A31" t="s">
        <v>7</v>
      </c>
      <c r="B31">
        <f t="shared" si="6"/>
        <v>1073741824</v>
      </c>
      <c r="C31">
        <v>30</v>
      </c>
      <c r="E31">
        <f t="shared" si="0"/>
        <v>9.0308998699194358</v>
      </c>
      <c r="F31">
        <f t="shared" si="1"/>
        <v>1073741824</v>
      </c>
      <c r="G31">
        <f t="shared" si="2"/>
        <v>1.152921504606847E+18</v>
      </c>
      <c r="I31">
        <f t="shared" si="3"/>
        <v>2.5802571056912673E-12</v>
      </c>
      <c r="J31">
        <f t="shared" si="4"/>
        <v>3.0678337828571431E-4</v>
      </c>
      <c r="K31">
        <f t="shared" si="5"/>
        <v>329406.14417338488</v>
      </c>
    </row>
    <row r="32" spans="1:11" x14ac:dyDescent="0.35">
      <c r="B32">
        <f t="shared" si="6"/>
        <v>2147483648</v>
      </c>
      <c r="C32">
        <v>31</v>
      </c>
      <c r="E32">
        <f t="shared" si="0"/>
        <v>9.3319298655834171</v>
      </c>
      <c r="F32">
        <f t="shared" si="1"/>
        <v>2147483648</v>
      </c>
      <c r="G32">
        <f t="shared" si="2"/>
        <v>4.6116860184273879E+18</v>
      </c>
      <c r="I32">
        <f t="shared" si="3"/>
        <v>2.6662656758809765E-12</v>
      </c>
      <c r="J32">
        <f t="shared" si="4"/>
        <v>6.1356675657142862E-4</v>
      </c>
      <c r="K32">
        <f>G32/(3.5*(10^12))</f>
        <v>1317624.5766935395</v>
      </c>
    </row>
    <row r="33" spans="1:11" x14ac:dyDescent="0.35">
      <c r="B33">
        <f t="shared" si="6"/>
        <v>4294967296</v>
      </c>
      <c r="C33">
        <v>32</v>
      </c>
      <c r="E33">
        <f t="shared" si="0"/>
        <v>9.6329598612473983</v>
      </c>
      <c r="F33">
        <f t="shared" si="1"/>
        <v>4294967296</v>
      </c>
      <c r="G33">
        <f t="shared" si="2"/>
        <v>1.8446744073709552E+19</v>
      </c>
      <c r="I33">
        <f t="shared" si="3"/>
        <v>2.7522742460706853E-12</v>
      </c>
      <c r="J33">
        <f t="shared" si="4"/>
        <v>1.2271335131428572E-3</v>
      </c>
      <c r="K33">
        <f t="shared" si="5"/>
        <v>5270498.306774158</v>
      </c>
    </row>
    <row r="34" spans="1:11" x14ac:dyDescent="0.35">
      <c r="B34">
        <f t="shared" si="6"/>
        <v>8589934592</v>
      </c>
      <c r="C34">
        <v>33</v>
      </c>
      <c r="E34">
        <f t="shared" si="0"/>
        <v>9.9339898569113796</v>
      </c>
      <c r="F34">
        <f t="shared" si="1"/>
        <v>8589934592</v>
      </c>
      <c r="G34">
        <f t="shared" si="2"/>
        <v>7.3786976294838206E+19</v>
      </c>
      <c r="I34">
        <f t="shared" si="3"/>
        <v>2.8382828162603941E-12</v>
      </c>
      <c r="J34">
        <f t="shared" si="4"/>
        <v>2.4542670262857145E-3</v>
      </c>
      <c r="K34">
        <f t="shared" si="5"/>
        <v>21081993.227096632</v>
      </c>
    </row>
    <row r="35" spans="1:11" x14ac:dyDescent="0.35">
      <c r="B35">
        <f t="shared" si="6"/>
        <v>17179869184</v>
      </c>
      <c r="C35">
        <v>34</v>
      </c>
      <c r="E35">
        <f t="shared" si="0"/>
        <v>10.235019852575361</v>
      </c>
      <c r="F35">
        <f t="shared" si="1"/>
        <v>17179869184</v>
      </c>
      <c r="G35">
        <f t="shared" si="2"/>
        <v>2.9514790517935283E+20</v>
      </c>
      <c r="I35">
        <f t="shared" si="3"/>
        <v>2.9242913864501033E-12</v>
      </c>
      <c r="J35">
        <f>F35/(3.5*(10^12))</f>
        <v>4.908534052571429E-3</v>
      </c>
      <c r="K35">
        <f>G35/(3.5*(10^12))</f>
        <v>84327972.908386528</v>
      </c>
    </row>
    <row r="36" spans="1:11" x14ac:dyDescent="0.35">
      <c r="B36">
        <f t="shared" si="6"/>
        <v>34359738368</v>
      </c>
      <c r="C36">
        <v>35</v>
      </c>
      <c r="E36">
        <f t="shared" si="0"/>
        <v>10.536049848239342</v>
      </c>
      <c r="F36">
        <f t="shared" si="1"/>
        <v>34359738368</v>
      </c>
      <c r="G36">
        <f t="shared" si="2"/>
        <v>1.1805916207174113E+21</v>
      </c>
      <c r="I36">
        <f t="shared" si="3"/>
        <v>3.0102999566398121E-12</v>
      </c>
      <c r="J36">
        <f t="shared" si="4"/>
        <v>9.8170681051428579E-3</v>
      </c>
      <c r="K36">
        <f t="shared" si="5"/>
        <v>337311891.63354611</v>
      </c>
    </row>
    <row r="37" spans="1:11" x14ac:dyDescent="0.35">
      <c r="B37">
        <f t="shared" si="6"/>
        <v>68719476736</v>
      </c>
      <c r="C37">
        <v>36</v>
      </c>
      <c r="E37">
        <f t="shared" si="0"/>
        <v>10.837079843903323</v>
      </c>
      <c r="F37">
        <f t="shared" si="1"/>
        <v>68719476736</v>
      </c>
      <c r="G37">
        <f t="shared" si="2"/>
        <v>4.7223664828696452E+21</v>
      </c>
      <c r="I37">
        <f t="shared" si="3"/>
        <v>3.0963085268295209E-12</v>
      </c>
      <c r="J37">
        <f t="shared" si="4"/>
        <v>1.9634136210285716E-2</v>
      </c>
      <c r="K37">
        <f t="shared" si="5"/>
        <v>1349247566.5341845</v>
      </c>
    </row>
    <row r="38" spans="1:11" x14ac:dyDescent="0.35">
      <c r="B38">
        <f t="shared" si="6"/>
        <v>137438953472</v>
      </c>
      <c r="C38">
        <v>37</v>
      </c>
      <c r="E38">
        <f t="shared" si="0"/>
        <v>11.138109839567305</v>
      </c>
      <c r="F38">
        <f t="shared" si="1"/>
        <v>137438953472</v>
      </c>
      <c r="G38">
        <f t="shared" si="2"/>
        <v>1.8889465931478581E+22</v>
      </c>
      <c r="I38">
        <f t="shared" si="3"/>
        <v>3.1823170970192301E-12</v>
      </c>
      <c r="J38">
        <f t="shared" si="4"/>
        <v>3.9268272420571432E-2</v>
      </c>
      <c r="K38">
        <f t="shared" si="5"/>
        <v>5396990266.1367378</v>
      </c>
    </row>
    <row r="39" spans="1:11" x14ac:dyDescent="0.35">
      <c r="B39">
        <f t="shared" si="6"/>
        <v>274877906944</v>
      </c>
      <c r="C39">
        <v>38</v>
      </c>
      <c r="E39">
        <f t="shared" si="0"/>
        <v>11.439139835231286</v>
      </c>
      <c r="F39">
        <f t="shared" si="1"/>
        <v>274877906944</v>
      </c>
      <c r="G39">
        <f t="shared" si="2"/>
        <v>7.5557863725914323E+22</v>
      </c>
      <c r="I39">
        <f t="shared" si="3"/>
        <v>3.2683256672089389E-12</v>
      </c>
      <c r="J39">
        <f t="shared" si="4"/>
        <v>7.8536544841142863E-2</v>
      </c>
      <c r="K39">
        <f t="shared" si="5"/>
        <v>21587961064.546951</v>
      </c>
    </row>
    <row r="40" spans="1:11" x14ac:dyDescent="0.35">
      <c r="B40">
        <f t="shared" si="6"/>
        <v>549755813888</v>
      </c>
      <c r="C40">
        <v>39</v>
      </c>
      <c r="E40">
        <f t="shared" si="0"/>
        <v>11.740169830895267</v>
      </c>
      <c r="F40">
        <f t="shared" si="1"/>
        <v>549755813888</v>
      </c>
      <c r="G40">
        <f t="shared" si="2"/>
        <v>3.0223145490365729E+23</v>
      </c>
      <c r="I40">
        <f t="shared" si="3"/>
        <v>3.3543342373986477E-12</v>
      </c>
      <c r="J40">
        <f t="shared" si="4"/>
        <v>0.15707308968228573</v>
      </c>
      <c r="K40">
        <f t="shared" si="5"/>
        <v>86351844258.187805</v>
      </c>
    </row>
    <row r="41" spans="1:11" x14ac:dyDescent="0.35">
      <c r="A41" t="s">
        <v>6</v>
      </c>
      <c r="B41">
        <f t="shared" si="6"/>
        <v>1099511627776</v>
      </c>
      <c r="C41">
        <v>40</v>
      </c>
      <c r="E41">
        <f t="shared" si="0"/>
        <v>12.041199826559248</v>
      </c>
      <c r="F41">
        <f t="shared" si="1"/>
        <v>1099511627776</v>
      </c>
      <c r="G41">
        <f t="shared" si="2"/>
        <v>1.2089258196146292E+24</v>
      </c>
      <c r="I41">
        <f t="shared" si="3"/>
        <v>3.4403428075883565E-12</v>
      </c>
      <c r="J41">
        <f t="shared" si="4"/>
        <v>0.31414617936457145</v>
      </c>
      <c r="K41">
        <f t="shared" si="5"/>
        <v>345407377032.75122</v>
      </c>
    </row>
    <row r="42" spans="1:11" x14ac:dyDescent="0.35">
      <c r="B42">
        <f t="shared" si="6"/>
        <v>2199023255552</v>
      </c>
      <c r="C42">
        <v>41</v>
      </c>
      <c r="E42">
        <f t="shared" si="0"/>
        <v>12.34222982222323</v>
      </c>
      <c r="F42">
        <f t="shared" si="1"/>
        <v>2199023255552</v>
      </c>
      <c r="G42">
        <f t="shared" si="2"/>
        <v>4.8357032784585167E+24</v>
      </c>
      <c r="I42">
        <f t="shared" si="3"/>
        <v>3.5263513777780657E-12</v>
      </c>
      <c r="J42">
        <f t="shared" si="4"/>
        <v>0.62829235872914291</v>
      </c>
      <c r="K42">
        <f t="shared" si="5"/>
        <v>1381629508131.0049</v>
      </c>
    </row>
    <row r="43" spans="1:11" x14ac:dyDescent="0.35">
      <c r="B43">
        <f t="shared" si="6"/>
        <v>4398046511104</v>
      </c>
      <c r="C43">
        <v>42</v>
      </c>
      <c r="E43">
        <f t="shared" si="0"/>
        <v>12.643259817887211</v>
      </c>
      <c r="F43">
        <f t="shared" si="1"/>
        <v>4398046511104</v>
      </c>
      <c r="G43">
        <f t="shared" si="2"/>
        <v>1.9342813113834067E+25</v>
      </c>
      <c r="I43">
        <f t="shared" si="3"/>
        <v>3.6123599479677745E-12</v>
      </c>
      <c r="J43">
        <f t="shared" si="4"/>
        <v>1.2565847174582858</v>
      </c>
      <c r="K43">
        <f t="shared" si="5"/>
        <v>5526518032524.0195</v>
      </c>
    </row>
    <row r="44" spans="1:11" x14ac:dyDescent="0.35">
      <c r="B44">
        <f t="shared" si="6"/>
        <v>8796093022208</v>
      </c>
      <c r="C44">
        <v>43</v>
      </c>
      <c r="E44">
        <f t="shared" si="0"/>
        <v>12.944289813551192</v>
      </c>
      <c r="F44">
        <f t="shared" si="1"/>
        <v>8796093022208</v>
      </c>
      <c r="G44">
        <f t="shared" si="2"/>
        <v>7.7371252455336267E+25</v>
      </c>
      <c r="I44">
        <f t="shared" si="3"/>
        <v>3.6983685181574837E-12</v>
      </c>
      <c r="J44">
        <f>F44/(3.5*(10^12))</f>
        <v>2.5131694349165716</v>
      </c>
      <c r="K44">
        <f t="shared" si="5"/>
        <v>22106072130096.078</v>
      </c>
    </row>
    <row r="45" spans="1:11" x14ac:dyDescent="0.35">
      <c r="B45">
        <f t="shared" si="6"/>
        <v>17592186044416</v>
      </c>
      <c r="C45">
        <v>44</v>
      </c>
      <c r="E45">
        <f t="shared" si="0"/>
        <v>13.245319809215173</v>
      </c>
      <c r="F45">
        <f t="shared" si="1"/>
        <v>17592186044416</v>
      </c>
      <c r="G45">
        <f t="shared" si="2"/>
        <v>3.0948500982134507E+26</v>
      </c>
      <c r="I45">
        <f t="shared" si="3"/>
        <v>3.7843770883471921E-12</v>
      </c>
      <c r="J45">
        <f t="shared" si="4"/>
        <v>5.0263388698331433</v>
      </c>
      <c r="K45">
        <f t="shared" si="5"/>
        <v>88424288520384.313</v>
      </c>
    </row>
    <row r="46" spans="1:11" x14ac:dyDescent="0.35">
      <c r="B46">
        <f t="shared" si="6"/>
        <v>35184372088832</v>
      </c>
      <c r="C46">
        <v>45</v>
      </c>
      <c r="E46">
        <f t="shared" si="0"/>
        <v>13.546349804879155</v>
      </c>
      <c r="F46">
        <f t="shared" si="1"/>
        <v>35184372088832</v>
      </c>
      <c r="G46">
        <f t="shared" si="2"/>
        <v>1.2379400392853803E+27</v>
      </c>
      <c r="I46">
        <f t="shared" si="3"/>
        <v>3.8703856585369013E-12</v>
      </c>
      <c r="J46">
        <f t="shared" si="4"/>
        <v>10.052677739666287</v>
      </c>
      <c r="K46">
        <f t="shared" si="5"/>
        <v>353697154081537.25</v>
      </c>
    </row>
    <row r="47" spans="1:11" x14ac:dyDescent="0.35">
      <c r="B47">
        <f t="shared" si="6"/>
        <v>70368744177664</v>
      </c>
      <c r="C47">
        <v>46</v>
      </c>
      <c r="E47">
        <f t="shared" si="0"/>
        <v>13.847379800543134</v>
      </c>
      <c r="F47">
        <f t="shared" si="1"/>
        <v>70368744177664</v>
      </c>
      <c r="G47">
        <f t="shared" si="2"/>
        <v>4.9517601571415211E+27</v>
      </c>
      <c r="I47">
        <f t="shared" si="3"/>
        <v>3.9563942287266097E-12</v>
      </c>
      <c r="J47">
        <f t="shared" si="4"/>
        <v>20.105355479332573</v>
      </c>
      <c r="K47">
        <f>G47/(3.5*(10^12))</f>
        <v>1414788616326149</v>
      </c>
    </row>
    <row r="48" spans="1:11" x14ac:dyDescent="0.35">
      <c r="B48">
        <f t="shared" si="6"/>
        <v>140737488355328</v>
      </c>
      <c r="C48">
        <v>47</v>
      </c>
      <c r="E48">
        <f t="shared" si="0"/>
        <v>14.148409796207115</v>
      </c>
      <c r="F48">
        <f t="shared" si="1"/>
        <v>140737488355328</v>
      </c>
      <c r="G48">
        <f t="shared" si="2"/>
        <v>1.9807040628566084E+28</v>
      </c>
      <c r="I48">
        <f t="shared" si="3"/>
        <v>4.0424027989163189E-12</v>
      </c>
      <c r="J48">
        <f t="shared" si="4"/>
        <v>40.210710958665146</v>
      </c>
      <c r="K48">
        <f t="shared" si="5"/>
        <v>5659154465304596</v>
      </c>
    </row>
    <row r="49" spans="1:11" x14ac:dyDescent="0.35">
      <c r="B49">
        <f t="shared" si="6"/>
        <v>281474976710656</v>
      </c>
      <c r="C49">
        <v>48</v>
      </c>
      <c r="E49">
        <f t="shared" si="0"/>
        <v>14.449439791871097</v>
      </c>
      <c r="F49">
        <f t="shared" si="1"/>
        <v>281474976710656</v>
      </c>
      <c r="G49">
        <f t="shared" si="2"/>
        <v>7.9228162514264338E+28</v>
      </c>
      <c r="I49">
        <f t="shared" si="3"/>
        <v>4.1284113691060273E-12</v>
      </c>
      <c r="J49">
        <f t="shared" si="4"/>
        <v>80.421421917330292</v>
      </c>
      <c r="K49">
        <f t="shared" si="5"/>
        <v>2.2636617861218384E+16</v>
      </c>
    </row>
    <row r="50" spans="1:11" x14ac:dyDescent="0.35">
      <c r="B50">
        <f t="shared" si="6"/>
        <v>562949953421312</v>
      </c>
      <c r="C50">
        <v>49</v>
      </c>
      <c r="E50">
        <f t="shared" si="0"/>
        <v>14.750469787535078</v>
      </c>
      <c r="F50">
        <f t="shared" si="1"/>
        <v>562949953421312</v>
      </c>
      <c r="G50">
        <f t="shared" si="2"/>
        <v>3.1691265005705735E+29</v>
      </c>
      <c r="I50">
        <f t="shared" si="3"/>
        <v>4.2144199392957365E-12</v>
      </c>
      <c r="J50">
        <f>F50/(3.5*(10^12))</f>
        <v>160.84284383466058</v>
      </c>
      <c r="K50">
        <f t="shared" si="5"/>
        <v>9.0546471444873536E+16</v>
      </c>
    </row>
    <row r="51" spans="1:11" x14ac:dyDescent="0.35">
      <c r="A51" t="s">
        <v>8</v>
      </c>
      <c r="B51">
        <f t="shared" si="6"/>
        <v>1125899906842624</v>
      </c>
      <c r="C51">
        <v>50</v>
      </c>
      <c r="E51">
        <f t="shared" si="0"/>
        <v>15.051499783199059</v>
      </c>
      <c r="F51">
        <f t="shared" si="1"/>
        <v>1125899906842624</v>
      </c>
      <c r="G51">
        <f t="shared" si="2"/>
        <v>1.2676506002282294E+30</v>
      </c>
      <c r="I51">
        <f t="shared" si="3"/>
        <v>4.3004285094854457E-12</v>
      </c>
      <c r="J51">
        <f t="shared" si="4"/>
        <v>321.68568766932117</v>
      </c>
      <c r="K51">
        <f t="shared" si="5"/>
        <v>3.6218588577949414E+17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2026-04-15T09:04:52Z</dcterms:created>
  <dcterms:modified xsi:type="dcterms:W3CDTF">2026-04-15T09:35:05Z</dcterms:modified>
</cp:coreProperties>
</file>